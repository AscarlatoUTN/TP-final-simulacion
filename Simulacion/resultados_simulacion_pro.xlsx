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Insights" sheetId="3" state="visible" r:id="rId3"/>
    <sheet name="Gráficos" sheetId="4" state="visible" r:id="rId4"/>
    <sheet name="Efici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$#,##0.00"/>
    <numFmt numFmtId="167" formatCode="0.000"/>
    <numFmt numFmtId="168" formatCode="$#,##0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F4D03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C0392B"/>
      <sz val="10"/>
    </font>
    <font>
      <name val="Calibri"/>
      <color rgb="002E86C1"/>
      <sz val="10"/>
    </font>
    <font>
      <name val="Calibri"/>
      <color rgb="00117A65"/>
      <sz val="10"/>
    </font>
    <font>
      <name val="Calibri"/>
      <color rgb="007B2400"/>
      <sz val="10"/>
    </font>
    <font>
      <name val="Calibri"/>
      <color rgb="00CA6F1E"/>
      <sz val="10"/>
    </font>
    <font>
      <name val="Calibri"/>
      <b val="1"/>
      <color rgb="00AAAAAA"/>
      <sz val="11"/>
    </font>
    <font>
      <name val="Calibri"/>
      <b val="1"/>
      <color rgb="00F4D03F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C0392B"/>
      <sz val="11"/>
    </font>
    <font>
      <name val="Calibri"/>
      <b val="1"/>
      <color rgb="002E86C1"/>
      <sz val="11"/>
    </font>
    <font>
      <name val="Calibri"/>
      <b val="1"/>
      <color rgb="00117A65"/>
      <sz val="11"/>
    </font>
    <font>
      <name val="Calibri"/>
      <b val="1"/>
      <color rgb="007B2400"/>
      <sz val="11"/>
    </font>
    <font>
      <name val="Calibri"/>
      <b val="1"/>
      <color rgb="00FFFFFF"/>
      <sz val="12"/>
    </font>
    <font>
      <name val="Calibri"/>
      <b val="1"/>
      <color rgb="00C0392B"/>
      <sz val="10"/>
    </font>
    <font>
      <name val="Calibri"/>
      <b val="1"/>
      <color rgb="002E86C1"/>
      <sz val="10"/>
    </font>
    <font>
      <name val="Calibri"/>
      <b val="1"/>
      <color rgb="00333333"/>
      <sz val="10"/>
    </font>
    <font>
      <name val="Calibri"/>
      <b val="1"/>
      <color rgb="001E8449"/>
      <sz val="10"/>
    </font>
    <font>
      <name val="Calibri"/>
      <b val="1"/>
      <color rgb="000D2137"/>
      <sz val="10"/>
    </font>
    <font>
      <name val="Calibri"/>
      <i val="1"/>
      <color rgb="00000000"/>
      <sz val="10"/>
    </font>
    <font>
      <name val="Calibri"/>
      <b val="1"/>
      <color rgb="00FFFFFF"/>
      <sz val="9"/>
    </font>
    <font>
      <name val="Calibri"/>
      <i val="1"/>
      <color rgb="00FFFFFF"/>
      <sz val="8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D2137"/>
      <sz val="12"/>
    </font>
    <font>
      <name val="Calibri"/>
      <b val="1"/>
      <color rgb="001E8449"/>
      <sz val="11"/>
    </font>
    <font>
      <name val="Calibri"/>
      <b val="1"/>
      <color rgb="00CA6F1E"/>
      <sz val="11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4A7A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117A65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2" fontId="11" fillId="6" borderId="1" applyAlignment="1" pivotButton="0" quotePrefix="0" xfId="0">
      <alignment horizontal="center" vertical="center" wrapText="1"/>
    </xf>
    <xf numFmtId="2" fontId="11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7" fontId="12" fillId="2" borderId="1" applyAlignment="1" pivotButton="0" quotePrefix="0" xfId="0">
      <alignment horizontal="center" vertical="center" wrapText="1"/>
    </xf>
    <xf numFmtId="167" fontId="13" fillId="2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0" fillId="8" borderId="0" pivotButton="0" quotePrefix="0" xfId="0"/>
    <xf numFmtId="165" fontId="17" fillId="6" borderId="1" applyAlignment="1" pivotButton="0" quotePrefix="0" xfId="0">
      <alignment horizontal="center" vertical="center" wrapText="1"/>
    </xf>
    <xf numFmtId="168" fontId="17" fillId="6" borderId="1" applyAlignment="1" pivotButton="0" quotePrefix="0" xfId="0">
      <alignment horizontal="center" vertical="center" wrapText="1"/>
    </xf>
    <xf numFmtId="1" fontId="17" fillId="6" borderId="1" applyAlignment="1" pivotButton="0" quotePrefix="0" xfId="0">
      <alignment horizontal="center" vertical="center" wrapText="1"/>
    </xf>
    <xf numFmtId="164" fontId="17" fillId="6" borderId="1" applyAlignment="1" pivotButton="0" quotePrefix="0" xfId="0">
      <alignment horizontal="center" vertical="center" wrapText="1"/>
    </xf>
    <xf numFmtId="164" fontId="18" fillId="6" borderId="1" applyAlignment="1" pivotButton="0" quotePrefix="0" xfId="0">
      <alignment horizontal="center" vertical="center" wrapText="1"/>
    </xf>
    <xf numFmtId="164" fontId="19" fillId="6" borderId="1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9" borderId="0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8" fontId="6" fillId="6" borderId="1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left" vertical="center" wrapText="1"/>
    </xf>
    <xf numFmtId="167" fontId="31" fillId="6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left" vertical="center" wrapText="1"/>
    </xf>
    <xf numFmtId="167" fontId="31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left" vertical="center" wrapText="1"/>
    </xf>
    <xf numFmtId="167" fontId="31" fillId="8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Arrepentimiento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'Gráficos'!B3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'Gráficos'!$A$4:$A$8</f>
            </numRef>
          </cat>
          <val>
            <numRef>
              <f>'Gráficos'!$B$4:$B$8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Ocioso por tipo y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'Gráficos'!D3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'Gráficos'!$A$4:$A$8</f>
            </numRef>
          </cat>
          <val>
            <numRef>
              <f>'Gráficos'!$D$4:$D$8</f>
            </numRef>
          </val>
        </ser>
        <ser>
          <idx val="1"/>
          <order val="1"/>
          <tx>
            <strRef>
              <f>'Gráficos'!E3</f>
            </strRef>
          </tx>
          <spPr>
            <a:solidFill>
              <a:srgbClr val="117A65"/>
            </a:solidFill>
            <a:ln>
              <a:prstDash val="solid"/>
            </a:ln>
          </spPr>
          <cat>
            <numRef>
              <f>'Gráficos'!$A$4:$A$8</f>
            </numRef>
          </cat>
          <val>
            <numRef>
              <f>'Gráficos'!$E$4:$E$8</f>
            </numRef>
          </val>
        </ser>
        <ser>
          <idx val="2"/>
          <order val="2"/>
          <tx>
            <strRef>
              <f>'Gráficos'!F3</f>
            </strRef>
          </tx>
          <spPr>
            <a:solidFill>
              <a:srgbClr val="7B2400"/>
            </a:solidFill>
            <a:ln>
              <a:prstDash val="solid"/>
            </a:ln>
          </spPr>
          <cat>
            <numRef>
              <f>'Gráficos'!$A$4:$A$8</f>
            </numRef>
          </cat>
          <val>
            <numRef>
              <f>'Gráficos'!$F$4:$F$8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Beneficio neto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'Gráficos'!G3</f>
            </strRef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'Gráficos'!$A$4:$A$8</f>
            </numRef>
          </cat>
          <val>
            <numRef>
              <f>'Gráficos'!$G$4:$G$8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de eficiencia (↑ mayor = mejor)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'Eficiencia'!B12</f>
            </strRef>
          </tx>
          <spPr>
            <a:solidFill>
              <a:srgbClr val="2E86C1"/>
            </a:solidFill>
            <a:ln>
              <a:prstDash val="solid"/>
            </a:ln>
          </spPr>
          <cat>
            <numRef>
              <f>'Eficiencia'!$A$13:$A$17</f>
            </numRef>
          </cat>
          <val>
            <numRef>
              <f>'Eficiencia'!$B$13:$B$17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40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ANÁLISIS DE ESCENARIOS DE FLOTA — FRANJA MADRUGADA</t>
        </is>
      </c>
    </row>
    <row r="2" ht="18" customHeight="1">
      <c r="A2" s="2" t="inlineStr">
        <is>
          <t xml:space="preserve">  5 escenarios  ·  Seed: 1  ·  Tarifa base: $3.50</t>
        </is>
      </c>
    </row>
    <row r="3" ht="4" customHeight="1">
      <c r="A3" s="3" t="n"/>
    </row>
    <row r="4" ht="22" customHeight="1">
      <c r="A4" s="4" t="inlineStr">
        <is>
          <t>Métrica</t>
        </is>
      </c>
      <c r="B4" s="5" t="inlineStr">
        <is>
          <t>Esc. 1 (5C/5E/5A)</t>
        </is>
      </c>
      <c r="C4" s="5" t="inlineStr">
        <is>
          <t>Esc. 2 (10C/10E/10A)</t>
        </is>
      </c>
      <c r="D4" s="5" t="inlineStr">
        <is>
          <t>Esc. 3 (15C/10E/5A)</t>
        </is>
      </c>
      <c r="E4" s="5" t="inlineStr">
        <is>
          <t>Esc. 4 (5C/10E/15A)</t>
        </is>
      </c>
      <c r="F4" s="5" t="inlineStr">
        <is>
          <t>Esc. 5 (20C/15E/10A)</t>
        </is>
      </c>
    </row>
    <row r="5" ht="20" customHeight="1">
      <c r="A5" s="6" t="inlineStr">
        <is>
          <t>N° convencionales</t>
        </is>
      </c>
      <c r="B5" s="7" t="n">
        <v>5</v>
      </c>
      <c r="C5" s="7" t="n">
        <v>10</v>
      </c>
      <c r="D5" s="7" t="n">
        <v>15</v>
      </c>
      <c r="E5" s="7" t="n">
        <v>5</v>
      </c>
      <c r="F5" s="7" t="n">
        <v>20</v>
      </c>
    </row>
    <row r="6" ht="20" customHeight="1">
      <c r="A6" s="8" t="inlineStr">
        <is>
          <t>N° eléctricos</t>
        </is>
      </c>
      <c r="B6" s="9" t="n">
        <v>5</v>
      </c>
      <c r="C6" s="9" t="n">
        <v>10</v>
      </c>
      <c r="D6" s="9" t="n">
        <v>10</v>
      </c>
      <c r="E6" s="9" t="n">
        <v>10</v>
      </c>
      <c r="F6" s="9" t="n">
        <v>15</v>
      </c>
    </row>
    <row r="7" ht="20" customHeight="1">
      <c r="A7" s="6" t="inlineStr">
        <is>
          <t>N° autónomos</t>
        </is>
      </c>
      <c r="B7" s="7" t="n">
        <v>5</v>
      </c>
      <c r="C7" s="7" t="n">
        <v>10</v>
      </c>
      <c r="D7" s="7" t="n">
        <v>5</v>
      </c>
      <c r="E7" s="7" t="n">
        <v>15</v>
      </c>
      <c r="F7" s="7" t="n">
        <v>10</v>
      </c>
    </row>
    <row r="8" ht="20" customHeight="1">
      <c r="A8" s="8" t="inlineStr">
        <is>
          <t>Solicitudes totales</t>
        </is>
      </c>
      <c r="B8" s="9" t="n">
        <v>4766</v>
      </c>
      <c r="C8" s="9" t="n">
        <v>4770</v>
      </c>
      <c r="D8" s="9" t="n">
        <v>4757</v>
      </c>
      <c r="E8" s="9" t="n">
        <v>4771</v>
      </c>
      <c r="F8" s="9" t="n">
        <v>4776</v>
      </c>
    </row>
    <row r="9" ht="20" customHeight="1">
      <c r="A9" s="6" t="inlineStr">
        <is>
          <t>Viajes completados</t>
        </is>
      </c>
      <c r="B9" s="7" t="n">
        <v>1961</v>
      </c>
      <c r="C9" s="7" t="n">
        <v>1948</v>
      </c>
      <c r="D9" s="7" t="n">
        <v>2019</v>
      </c>
      <c r="E9" s="7" t="n">
        <v>1955</v>
      </c>
      <c r="F9" s="7" t="n">
        <v>1973</v>
      </c>
    </row>
    <row r="10" ht="20" customHeight="1">
      <c r="A10" s="8" t="inlineStr">
        <is>
          <t>Pasajeros arrepentidos</t>
        </is>
      </c>
      <c r="B10" s="9" t="n">
        <v>2805</v>
      </c>
      <c r="C10" s="9" t="n">
        <v>2822</v>
      </c>
      <c r="D10" s="9" t="n">
        <v>2738</v>
      </c>
      <c r="E10" s="9" t="n">
        <v>2816</v>
      </c>
      <c r="F10" s="9" t="n">
        <v>2803</v>
      </c>
    </row>
    <row r="11" ht="20" customHeight="1">
      <c r="A11" s="6" t="inlineStr">
        <is>
          <t>% Arrepentimiento (PARR)</t>
        </is>
      </c>
      <c r="B11" s="10" t="n">
        <v>0.5885438522870331</v>
      </c>
      <c r="C11" s="10" t="n">
        <v>0.5916142557651992</v>
      </c>
      <c r="D11" s="10" t="n">
        <v>0.575572840025226</v>
      </c>
      <c r="E11" s="10" t="n">
        <v>0.5902326556277511</v>
      </c>
      <c r="F11" s="10" t="n">
        <v>0.586892797319933</v>
      </c>
    </row>
    <row r="12" ht="20" customHeight="1">
      <c r="A12" s="8" t="inlineStr">
        <is>
          <t>Espera promedio (min)</t>
        </is>
      </c>
      <c r="B12" s="11" t="n">
        <v>2561.568202755417</v>
      </c>
      <c r="C12" s="11" t="n">
        <v>1167.913289295486</v>
      </c>
      <c r="D12" s="11" t="n">
        <v>1249.944074349232</v>
      </c>
      <c r="E12" s="11" t="n">
        <v>1169.635505704799</v>
      </c>
      <c r="F12" s="11" t="n">
        <v>753.3811767840773</v>
      </c>
    </row>
    <row r="13" ht="20" customHeight="1">
      <c r="A13" s="6" t="inlineStr">
        <is>
          <t>Beneficio neto (BN)</t>
        </is>
      </c>
      <c r="B13" s="12" t="n">
        <v>23371.80942348283</v>
      </c>
      <c r="C13" s="12" t="n">
        <v>22960.56529241462</v>
      </c>
      <c r="D13" s="12" t="n">
        <v>24047.81520000456</v>
      </c>
      <c r="E13" s="12" t="n">
        <v>23282.04428122888</v>
      </c>
      <c r="F13" s="12" t="n">
        <v>23648.57080210968</v>
      </c>
    </row>
    <row r="14" ht="20" customHeight="1">
      <c r="A14" s="6" t="inlineStr">
        <is>
          <t>% Ocioso Convencional</t>
        </is>
      </c>
      <c r="B14" s="13" t="n">
        <v>0.00409329669858276</v>
      </c>
      <c r="C14" s="13" t="n">
        <v>0.01934423307843448</v>
      </c>
      <c r="D14" s="13" t="n">
        <v>0.04056145708919346</v>
      </c>
      <c r="E14" s="13" t="n">
        <v>0.004094280586700516</v>
      </c>
      <c r="F14" s="13" t="n">
        <v>0.06708949517412537</v>
      </c>
    </row>
    <row r="15" ht="20" customHeight="1">
      <c r="A15" s="8" t="inlineStr">
        <is>
          <t>% Ocioso Eléctrico</t>
        </is>
      </c>
      <c r="B15" s="14" t="n">
        <v>0.01967508325444377</v>
      </c>
      <c r="C15" s="14" t="n">
        <v>0.05759741457046649</v>
      </c>
      <c r="D15" s="14" t="n">
        <v>0.07314039964710807</v>
      </c>
      <c r="E15" s="14" t="n">
        <v>0.04381968471828735</v>
      </c>
      <c r="F15" s="14" t="n">
        <v>0.1428627627788767</v>
      </c>
    </row>
    <row r="16" ht="20" customHeight="1">
      <c r="A16" s="6" t="inlineStr">
        <is>
          <t>% Ocioso Autónomo</t>
        </is>
      </c>
      <c r="B16" s="15" t="n">
        <v>0.2420257770899072</v>
      </c>
      <c r="C16" s="15" t="n">
        <v>0.5349342903002478</v>
      </c>
      <c r="D16" s="15" t="n">
        <v>0.2609107701150915</v>
      </c>
      <c r="E16" s="15" t="n">
        <v>0.8173232890151955</v>
      </c>
      <c r="F16" s="15" t="n">
        <v>0.5251534507336547</v>
      </c>
    </row>
    <row r="17" ht="20" customHeight="1">
      <c r="A17" s="8" t="inlineStr">
        <is>
          <t>Calificación Convencional</t>
        </is>
      </c>
      <c r="B17" s="16" t="n">
        <v>3.648014236996337</v>
      </c>
      <c r="C17" s="16" t="n">
        <v>3.657938975308257</v>
      </c>
      <c r="D17" s="16" t="n">
        <v>3.644286188879601</v>
      </c>
      <c r="E17" s="16" t="n">
        <v>3.653724702579542</v>
      </c>
      <c r="F17" s="16" t="n">
        <v>3.657421169483068</v>
      </c>
    </row>
    <row r="18" ht="20" customHeight="1">
      <c r="A18" s="6" t="inlineStr">
        <is>
          <t>Calificación Eléctrico</t>
        </is>
      </c>
      <c r="B18" s="17" t="n">
        <v>3.738108376608674</v>
      </c>
      <c r="C18" s="17" t="n">
        <v>3.710082075612369</v>
      </c>
      <c r="D18" s="17" t="n">
        <v>3.739753917419334</v>
      </c>
      <c r="E18" s="17" t="n">
        <v>3.734762727363418</v>
      </c>
      <c r="F18" s="17" t="n">
        <v>3.739753917419334</v>
      </c>
    </row>
    <row r="19" ht="20" customHeight="1">
      <c r="A19" s="8" t="inlineStr">
        <is>
          <t>Calificación Autónomo</t>
        </is>
      </c>
      <c r="B19" s="16" t="n">
        <v>3.651680962992259</v>
      </c>
      <c r="C19" s="16" t="n">
        <v>3.656532015579661</v>
      </c>
      <c r="D19" s="16" t="n">
        <v>3.647152654475895</v>
      </c>
      <c r="E19" s="16" t="n">
        <v>3.663302704660796</v>
      </c>
      <c r="F19" s="16" t="n">
        <v>3.651816046393699</v>
      </c>
    </row>
    <row r="21" ht="24" customHeight="1">
      <c r="A21" s="18" t="inlineStr">
        <is>
          <t>Eficiencia global (↑ mayor = mejor)</t>
        </is>
      </c>
      <c r="B21" s="19" t="n">
        <v>0.3761052045764576</v>
      </c>
      <c r="C21" s="19" t="n">
        <v>0.4350971902957369</v>
      </c>
      <c r="D21" s="20" t="n">
        <v>0.8356925319960918</v>
      </c>
      <c r="E21" s="19" t="n">
        <v>0.3547113597300759</v>
      </c>
      <c r="F21" s="19" t="n">
        <v>0.587271505177398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21" t="inlineStr">
        <is>
          <t>PANEL DE KPIs POR ESCENARIO</t>
        </is>
      </c>
    </row>
    <row r="2" ht="16" customHeight="1">
      <c r="A2" s="22" t="inlineStr">
        <is>
          <t>Comparación rápida — franja madrugada</t>
        </is>
      </c>
    </row>
    <row r="4" ht="24" customHeight="1">
      <c r="A4" s="23" t="inlineStr"/>
      <c r="B4" s="24" t="inlineStr">
        <is>
          <t>Esc. 1 (5C/5E/5A)</t>
        </is>
      </c>
      <c r="C4" s="24" t="inlineStr">
        <is>
          <t>Esc. 2 (10C/10E/10A)</t>
        </is>
      </c>
      <c r="D4" s="25" t="inlineStr">
        <is>
          <t>Esc. 3 (15C/10E/5A) ★</t>
        </is>
      </c>
      <c r="E4" s="24" t="inlineStr">
        <is>
          <t>Esc. 4 (5C/10E/15A)</t>
        </is>
      </c>
      <c r="F4" s="24" t="inlineStr">
        <is>
          <t>Esc. 5 (20C/15E/10A)</t>
        </is>
      </c>
    </row>
    <row r="5">
      <c r="A5" s="18" t="inlineStr">
        <is>
          <t>% Arrepentimiento</t>
        </is>
      </c>
      <c r="B5" s="26" t="n">
        <v>0.5885438522870331</v>
      </c>
      <c r="C5" s="26" t="n">
        <v>0.5916142557651992</v>
      </c>
      <c r="D5" s="26" t="n">
        <v>0.575572840025226</v>
      </c>
      <c r="E5" s="26" t="n">
        <v>0.5902326556277511</v>
      </c>
      <c r="F5" s="26" t="n">
        <v>0.586892797319933</v>
      </c>
    </row>
    <row r="6">
      <c r="A6" s="27" t="n"/>
      <c r="B6" s="27" t="n"/>
      <c r="C6" s="27" t="n"/>
      <c r="D6" s="27" t="n"/>
      <c r="E6" s="27" t="n"/>
      <c r="F6" s="27" t="n"/>
    </row>
    <row r="7">
      <c r="A7" s="18" t="inlineStr">
        <is>
          <t>Espera prom. (min)</t>
        </is>
      </c>
      <c r="B7" s="28" t="n">
        <v>2561.568202755417</v>
      </c>
      <c r="C7" s="28" t="n">
        <v>1167.913289295486</v>
      </c>
      <c r="D7" s="28" t="n">
        <v>1249.944074349232</v>
      </c>
      <c r="E7" s="28" t="n">
        <v>1169.635505704799</v>
      </c>
      <c r="F7" s="28" t="n">
        <v>753.3811767840773</v>
      </c>
    </row>
    <row r="8">
      <c r="A8" s="27" t="n"/>
      <c r="B8" s="27" t="n"/>
      <c r="C8" s="27" t="n"/>
      <c r="D8" s="27" t="n"/>
      <c r="E8" s="27" t="n"/>
      <c r="F8" s="27" t="n"/>
    </row>
    <row r="9">
      <c r="A9" s="18" t="inlineStr">
        <is>
          <t>Beneficio neto</t>
        </is>
      </c>
      <c r="B9" s="29" t="n">
        <v>23371.80942348283</v>
      </c>
      <c r="C9" s="29" t="n">
        <v>22960.56529241462</v>
      </c>
      <c r="D9" s="29" t="n">
        <v>24047.81520000456</v>
      </c>
      <c r="E9" s="29" t="n">
        <v>23282.04428122888</v>
      </c>
      <c r="F9" s="29" t="n">
        <v>23648.57080210968</v>
      </c>
    </row>
    <row r="10">
      <c r="A10" s="27" t="n"/>
      <c r="B10" s="27" t="n"/>
      <c r="C10" s="27" t="n"/>
      <c r="D10" s="27" t="n"/>
      <c r="E10" s="27" t="n"/>
      <c r="F10" s="27" t="n"/>
    </row>
    <row r="11">
      <c r="A11" s="18" t="inlineStr">
        <is>
          <t>Viajes completados</t>
        </is>
      </c>
      <c r="B11" s="30" t="n">
        <v>1961</v>
      </c>
      <c r="C11" s="30" t="n">
        <v>1948</v>
      </c>
      <c r="D11" s="30" t="n">
        <v>2019</v>
      </c>
      <c r="E11" s="30" t="n">
        <v>1955</v>
      </c>
      <c r="F11" s="30" t="n">
        <v>1973</v>
      </c>
    </row>
    <row r="12">
      <c r="A12" s="27" t="n"/>
      <c r="B12" s="27" t="n"/>
      <c r="C12" s="27" t="n"/>
      <c r="D12" s="27" t="n"/>
      <c r="E12" s="27" t="n"/>
      <c r="F12" s="27" t="n"/>
    </row>
    <row r="13">
      <c r="A13" s="18" t="inlineStr">
        <is>
          <t>% Ocioso Convencional</t>
        </is>
      </c>
      <c r="B13" s="31" t="n">
        <v>0.00409329669858276</v>
      </c>
      <c r="C13" s="31" t="n">
        <v>0.01934423307843448</v>
      </c>
      <c r="D13" s="31" t="n">
        <v>0.04056145708919346</v>
      </c>
      <c r="E13" s="31" t="n">
        <v>0.004094280586700516</v>
      </c>
      <c r="F13" s="31" t="n">
        <v>0.06708949517412537</v>
      </c>
    </row>
    <row r="14">
      <c r="A14" s="27" t="n"/>
      <c r="B14" s="27" t="n"/>
      <c r="C14" s="27" t="n"/>
      <c r="D14" s="27" t="n"/>
      <c r="E14" s="27" t="n"/>
      <c r="F14" s="27" t="n"/>
    </row>
    <row r="15">
      <c r="A15" s="18" t="inlineStr">
        <is>
          <t>% Ocioso Eléctrico</t>
        </is>
      </c>
      <c r="B15" s="32" t="n">
        <v>0.01967508325444377</v>
      </c>
      <c r="C15" s="32" t="n">
        <v>0.05759741457046649</v>
      </c>
      <c r="D15" s="32" t="n">
        <v>0.07314039964710807</v>
      </c>
      <c r="E15" s="32" t="n">
        <v>0.04381968471828735</v>
      </c>
      <c r="F15" s="32" t="n">
        <v>0.1428627627788767</v>
      </c>
    </row>
    <row r="16">
      <c r="A16" s="27" t="n"/>
      <c r="B16" s="27" t="n"/>
      <c r="C16" s="27" t="n"/>
      <c r="D16" s="27" t="n"/>
      <c r="E16" s="27" t="n"/>
      <c r="F16" s="27" t="n"/>
    </row>
    <row r="17">
      <c r="A17" s="18" t="inlineStr">
        <is>
          <t>% Ocioso Autónomo</t>
        </is>
      </c>
      <c r="B17" s="33" t="n">
        <v>0.2420257770899072</v>
      </c>
      <c r="C17" s="33" t="n">
        <v>0.5349342903002478</v>
      </c>
      <c r="D17" s="33" t="n">
        <v>0.2609107701150915</v>
      </c>
      <c r="E17" s="33" t="n">
        <v>0.8173232890151955</v>
      </c>
      <c r="F17" s="33" t="n">
        <v>0.5251534507336547</v>
      </c>
    </row>
    <row r="18">
      <c r="A18" s="27" t="n"/>
      <c r="B18" s="27" t="n"/>
      <c r="C18" s="27" t="n"/>
      <c r="D18" s="27" t="n"/>
      <c r="E18" s="27" t="n"/>
      <c r="F18" s="27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4" customWidth="1" min="5" max="5"/>
  </cols>
  <sheetData>
    <row r="1" ht="32" customHeight="1">
      <c r="A1" s="21" t="inlineStr">
        <is>
          <t>INSIGHTS AUTOMÁTICOS</t>
        </is>
      </c>
    </row>
    <row r="3" ht="24" customHeight="1">
      <c r="A3" s="34" t="inlineStr">
        <is>
          <t>Escenario: Esc. 1 (5C/5E/5A)</t>
        </is>
      </c>
    </row>
    <row r="4" ht="18" customHeight="1">
      <c r="A4" s="6" t="inlineStr">
        <is>
          <t>% Arrepentimiento:</t>
        </is>
      </c>
      <c r="B4" s="35" t="inlineStr">
        <is>
          <t>58.9%</t>
        </is>
      </c>
    </row>
    <row r="5" ht="18" customHeight="1">
      <c r="A5" s="6" t="inlineStr">
        <is>
          <t>Viajes completados:</t>
        </is>
      </c>
      <c r="B5" s="36" t="inlineStr">
        <is>
          <t>1961 / 4766 solicitudes</t>
        </is>
      </c>
    </row>
    <row r="6" ht="18" customHeight="1">
      <c r="A6" s="6" t="inlineStr">
        <is>
          <t>Espera promedio:</t>
        </is>
      </c>
      <c r="B6" s="37" t="inlineStr">
        <is>
          <t>2561.6 min</t>
        </is>
      </c>
    </row>
    <row r="7" ht="18" customHeight="1">
      <c r="A7" s="6" t="inlineStr">
        <is>
          <t>% Ocioso promedio (3 tipos):</t>
        </is>
      </c>
      <c r="B7" s="37" t="inlineStr">
        <is>
          <t>8.9%</t>
        </is>
      </c>
    </row>
    <row r="8" ht="18" customHeight="1">
      <c r="A8" s="6" t="inlineStr">
        <is>
          <t>Beneficio neto:</t>
        </is>
      </c>
      <c r="B8" s="38" t="inlineStr">
        <is>
          <t>$23,371.81</t>
        </is>
      </c>
    </row>
    <row r="9" ht="18" customHeight="1">
      <c r="A9" s="6" t="inlineStr">
        <is>
          <t>Eficiencia global:</t>
        </is>
      </c>
      <c r="B9" s="39" t="inlineStr">
        <is>
          <t>0.376  (↑ mayor = mejor)</t>
        </is>
      </c>
    </row>
    <row r="10" ht="20" customHeight="1">
      <c r="A10" s="40" t="inlineStr">
        <is>
          <t>Alta pérdida de pasajeros — la flota está desbordada, considerar agregar más taxis.</t>
        </is>
      </c>
    </row>
    <row r="12" ht="24" customHeight="1">
      <c r="A12" s="34" t="inlineStr">
        <is>
          <t>Escenario: Esc. 2 (10C/10E/10A)</t>
        </is>
      </c>
    </row>
    <row r="13" ht="18" customHeight="1">
      <c r="A13" s="6" t="inlineStr">
        <is>
          <t>% Arrepentimiento:</t>
        </is>
      </c>
      <c r="B13" s="35" t="inlineStr">
        <is>
          <t>59.2%</t>
        </is>
      </c>
    </row>
    <row r="14" ht="18" customHeight="1">
      <c r="A14" s="6" t="inlineStr">
        <is>
          <t>Viajes completados:</t>
        </is>
      </c>
      <c r="B14" s="36" t="inlineStr">
        <is>
          <t>1948 / 4770 solicitudes</t>
        </is>
      </c>
    </row>
    <row r="15" ht="18" customHeight="1">
      <c r="A15" s="6" t="inlineStr">
        <is>
          <t>Espera promedio:</t>
        </is>
      </c>
      <c r="B15" s="37" t="inlineStr">
        <is>
          <t>1167.9 min</t>
        </is>
      </c>
    </row>
    <row r="16" ht="18" customHeight="1">
      <c r="A16" s="6" t="inlineStr">
        <is>
          <t>% Ocioso promedio (3 tipos):</t>
        </is>
      </c>
      <c r="B16" s="37" t="inlineStr">
        <is>
          <t>20.4%</t>
        </is>
      </c>
    </row>
    <row r="17" ht="18" customHeight="1">
      <c r="A17" s="6" t="inlineStr">
        <is>
          <t>Beneficio neto:</t>
        </is>
      </c>
      <c r="B17" s="38" t="inlineStr">
        <is>
          <t>$22,960.57</t>
        </is>
      </c>
    </row>
    <row r="18" ht="18" customHeight="1">
      <c r="A18" s="6" t="inlineStr">
        <is>
          <t>Eficiencia global:</t>
        </is>
      </c>
      <c r="B18" s="39" t="inlineStr">
        <is>
          <t>0.435  (↑ mayor = mejor)</t>
        </is>
      </c>
    </row>
    <row r="19" ht="20" customHeight="1">
      <c r="A19" s="40" t="inlineStr">
        <is>
          <t>Alta pérdida de pasajeros — la flota está desbordada, considerar agregar más taxis.</t>
        </is>
      </c>
    </row>
    <row r="21" ht="24" customHeight="1">
      <c r="A21" s="34" t="inlineStr">
        <is>
          <t>Escenario: Esc. 3 (15C/10E/5A)</t>
        </is>
      </c>
    </row>
    <row r="22" ht="18" customHeight="1">
      <c r="A22" s="6" t="inlineStr">
        <is>
          <t>% Arrepentimiento:</t>
        </is>
      </c>
      <c r="B22" s="35" t="inlineStr">
        <is>
          <t>57.6%</t>
        </is>
      </c>
    </row>
    <row r="23" ht="18" customHeight="1">
      <c r="A23" s="6" t="inlineStr">
        <is>
          <t>Viajes completados:</t>
        </is>
      </c>
      <c r="B23" s="36" t="inlineStr">
        <is>
          <t>2019 / 4757 solicitudes</t>
        </is>
      </c>
    </row>
    <row r="24" ht="18" customHeight="1">
      <c r="A24" s="6" t="inlineStr">
        <is>
          <t>Espera promedio:</t>
        </is>
      </c>
      <c r="B24" s="37" t="inlineStr">
        <is>
          <t>1249.9 min</t>
        </is>
      </c>
    </row>
    <row r="25" ht="18" customHeight="1">
      <c r="A25" s="6" t="inlineStr">
        <is>
          <t>% Ocioso promedio (3 tipos):</t>
        </is>
      </c>
      <c r="B25" s="37" t="inlineStr">
        <is>
          <t>12.5%</t>
        </is>
      </c>
    </row>
    <row r="26" ht="18" customHeight="1">
      <c r="A26" s="6" t="inlineStr">
        <is>
          <t>Beneficio neto:</t>
        </is>
      </c>
      <c r="B26" s="38" t="inlineStr">
        <is>
          <t>$24,047.82</t>
        </is>
      </c>
    </row>
    <row r="27" ht="18" customHeight="1">
      <c r="A27" s="6" t="inlineStr">
        <is>
          <t>Eficiencia global:</t>
        </is>
      </c>
      <c r="B27" s="39" t="inlineStr">
        <is>
          <t>0.836  (↑ mayor = mejor)</t>
        </is>
      </c>
    </row>
    <row r="28" ht="20" customHeight="1">
      <c r="A28" s="40" t="inlineStr">
        <is>
          <t>Alta pérdida de pasajeros — la flota está desbordada, considerar agregar más taxis.</t>
        </is>
      </c>
    </row>
    <row r="30" ht="24" customHeight="1">
      <c r="A30" s="34" t="inlineStr">
        <is>
          <t>Escenario: Esc. 4 (5C/10E/15A)</t>
        </is>
      </c>
    </row>
    <row r="31" ht="18" customHeight="1">
      <c r="A31" s="6" t="inlineStr">
        <is>
          <t>% Arrepentimiento:</t>
        </is>
      </c>
      <c r="B31" s="35" t="inlineStr">
        <is>
          <t>59.0%</t>
        </is>
      </c>
    </row>
    <row r="32" ht="18" customHeight="1">
      <c r="A32" s="6" t="inlineStr">
        <is>
          <t>Viajes completados:</t>
        </is>
      </c>
      <c r="B32" s="36" t="inlineStr">
        <is>
          <t>1955 / 4771 solicitudes</t>
        </is>
      </c>
    </row>
    <row r="33" ht="18" customHeight="1">
      <c r="A33" s="6" t="inlineStr">
        <is>
          <t>Espera promedio:</t>
        </is>
      </c>
      <c r="B33" s="37" t="inlineStr">
        <is>
          <t>1169.6 min</t>
        </is>
      </c>
    </row>
    <row r="34" ht="18" customHeight="1">
      <c r="A34" s="6" t="inlineStr">
        <is>
          <t>% Ocioso promedio (3 tipos):</t>
        </is>
      </c>
      <c r="B34" s="37" t="inlineStr">
        <is>
          <t>28.8%</t>
        </is>
      </c>
    </row>
    <row r="35" ht="18" customHeight="1">
      <c r="A35" s="6" t="inlineStr">
        <is>
          <t>Beneficio neto:</t>
        </is>
      </c>
      <c r="B35" s="38" t="inlineStr">
        <is>
          <t>$23,282.04</t>
        </is>
      </c>
    </row>
    <row r="36" ht="18" customHeight="1">
      <c r="A36" s="6" t="inlineStr">
        <is>
          <t>Eficiencia global:</t>
        </is>
      </c>
      <c r="B36" s="39" t="inlineStr">
        <is>
          <t>0.355  (↑ mayor = mejor)</t>
        </is>
      </c>
    </row>
    <row r="37" ht="20" customHeight="1">
      <c r="A37" s="40" t="inlineStr">
        <is>
          <t>Alta pérdida de pasajeros — la flota está desbordada, considerar agregar más taxis.</t>
        </is>
      </c>
    </row>
    <row r="39" ht="24" customHeight="1">
      <c r="A39" s="34" t="inlineStr">
        <is>
          <t>Escenario: Esc. 5 (20C/15E/10A)</t>
        </is>
      </c>
    </row>
    <row r="40" ht="18" customHeight="1">
      <c r="A40" s="6" t="inlineStr">
        <is>
          <t>% Arrepentimiento:</t>
        </is>
      </c>
      <c r="B40" s="35" t="inlineStr">
        <is>
          <t>58.7%</t>
        </is>
      </c>
    </row>
    <row r="41" ht="18" customHeight="1">
      <c r="A41" s="6" t="inlineStr">
        <is>
          <t>Viajes completados:</t>
        </is>
      </c>
      <c r="B41" s="36" t="inlineStr">
        <is>
          <t>1973 / 4776 solicitudes</t>
        </is>
      </c>
    </row>
    <row r="42" ht="18" customHeight="1">
      <c r="A42" s="6" t="inlineStr">
        <is>
          <t>Espera promedio:</t>
        </is>
      </c>
      <c r="B42" s="37" t="inlineStr">
        <is>
          <t>753.4 min</t>
        </is>
      </c>
    </row>
    <row r="43" ht="18" customHeight="1">
      <c r="A43" s="6" t="inlineStr">
        <is>
          <t>% Ocioso promedio (3 tipos):</t>
        </is>
      </c>
      <c r="B43" s="37" t="inlineStr">
        <is>
          <t>24.5%</t>
        </is>
      </c>
    </row>
    <row r="44" ht="18" customHeight="1">
      <c r="A44" s="6" t="inlineStr">
        <is>
          <t>Beneficio neto:</t>
        </is>
      </c>
      <c r="B44" s="38" t="inlineStr">
        <is>
          <t>$23,648.57</t>
        </is>
      </c>
    </row>
    <row r="45" ht="18" customHeight="1">
      <c r="A45" s="6" t="inlineStr">
        <is>
          <t>Eficiencia global:</t>
        </is>
      </c>
      <c r="B45" s="39" t="inlineStr">
        <is>
          <t>0.587  (↑ mayor = mejor)</t>
        </is>
      </c>
    </row>
    <row r="46" ht="20" customHeight="1">
      <c r="A46" s="40" t="inlineStr">
        <is>
          <t>Alta pérdida de pasajeros — la flota está desbordada, considerar agregar más taxis.</t>
        </is>
      </c>
    </row>
  </sheetData>
  <mergeCells count="41">
    <mergeCell ref="A30:E30"/>
    <mergeCell ref="A39:E39"/>
    <mergeCell ref="B16:C16"/>
    <mergeCell ref="B7:C7"/>
    <mergeCell ref="B25:C25"/>
    <mergeCell ref="B22:C22"/>
    <mergeCell ref="A1:E1"/>
    <mergeCell ref="B31:C31"/>
    <mergeCell ref="B18:C18"/>
    <mergeCell ref="B27:C27"/>
    <mergeCell ref="B43:C43"/>
    <mergeCell ref="B42:C42"/>
    <mergeCell ref="B23:C23"/>
    <mergeCell ref="B14:C14"/>
    <mergeCell ref="A37:E37"/>
    <mergeCell ref="A46:E46"/>
    <mergeCell ref="B17:C17"/>
    <mergeCell ref="B8:C8"/>
    <mergeCell ref="A3:E3"/>
    <mergeCell ref="B13:C13"/>
    <mergeCell ref="A21:E21"/>
    <mergeCell ref="A12:E12"/>
    <mergeCell ref="B44:C44"/>
    <mergeCell ref="B34:C34"/>
    <mergeCell ref="B40:C40"/>
    <mergeCell ref="B9:C9"/>
    <mergeCell ref="B6:C6"/>
    <mergeCell ref="B24:C24"/>
    <mergeCell ref="B15:C15"/>
    <mergeCell ref="B33:C33"/>
    <mergeCell ref="B5:C5"/>
    <mergeCell ref="A10:E10"/>
    <mergeCell ref="A28:E28"/>
    <mergeCell ref="A19:E19"/>
    <mergeCell ref="B45:C45"/>
    <mergeCell ref="B36:C36"/>
    <mergeCell ref="B32:C32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32" customHeight="1">
      <c r="A1" s="21" t="inlineStr">
        <is>
          <t>GRÁFICOS COMPARATIVOS</t>
        </is>
      </c>
    </row>
    <row r="3" ht="24" customHeight="1">
      <c r="A3" s="41" t="inlineStr">
        <is>
          <t>Escenario</t>
        </is>
      </c>
      <c r="B3" s="41" t="inlineStr">
        <is>
          <t>% Arrepentimiento</t>
        </is>
      </c>
      <c r="C3" s="41" t="inlineStr">
        <is>
          <t>Espera prom. (min)</t>
        </is>
      </c>
      <c r="D3" s="41" t="inlineStr">
        <is>
          <t>Ocioso Conv. (%)</t>
        </is>
      </c>
      <c r="E3" s="41" t="inlineStr">
        <is>
          <t>Ocioso Eléc. (%)</t>
        </is>
      </c>
      <c r="F3" s="41" t="inlineStr">
        <is>
          <t>Ocioso Autón. (%)</t>
        </is>
      </c>
      <c r="G3" s="41" t="inlineStr">
        <is>
          <t>Beneficio neto</t>
        </is>
      </c>
    </row>
    <row r="4" ht="18" customHeight="1">
      <c r="A4" s="7" t="inlineStr">
        <is>
          <t>Esc. 1 (5C/5E/5A)</t>
        </is>
      </c>
      <c r="B4" s="42" t="n">
        <v>0.5885438522870331</v>
      </c>
      <c r="C4" s="43" t="n">
        <v>2561.568202755417</v>
      </c>
      <c r="D4" s="42" t="n">
        <v>0.00409329669858276</v>
      </c>
      <c r="E4" s="42" t="n">
        <v>0.01967508325444377</v>
      </c>
      <c r="F4" s="42" t="n">
        <v>0.2420257770899072</v>
      </c>
      <c r="G4" s="44" t="n">
        <v>23371.80942348283</v>
      </c>
    </row>
    <row r="5" ht="18" customHeight="1">
      <c r="A5" s="9" t="inlineStr">
        <is>
          <t>Esc. 2 (10C/10E/10A)</t>
        </is>
      </c>
      <c r="B5" s="45" t="n">
        <v>0.5916142557651992</v>
      </c>
      <c r="C5" s="11" t="n">
        <v>1167.913289295486</v>
      </c>
      <c r="D5" s="45" t="n">
        <v>0.01934423307843448</v>
      </c>
      <c r="E5" s="45" t="n">
        <v>0.05759741457046649</v>
      </c>
      <c r="F5" s="45" t="n">
        <v>0.5349342903002478</v>
      </c>
      <c r="G5" s="46" t="n">
        <v>22960.56529241462</v>
      </c>
    </row>
    <row r="6" ht="18" customHeight="1">
      <c r="A6" s="7" t="inlineStr">
        <is>
          <t>Esc. 3 (15C/10E/5A)</t>
        </is>
      </c>
      <c r="B6" s="42" t="n">
        <v>0.575572840025226</v>
      </c>
      <c r="C6" s="43" t="n">
        <v>1249.944074349232</v>
      </c>
      <c r="D6" s="42" t="n">
        <v>0.04056145708919346</v>
      </c>
      <c r="E6" s="42" t="n">
        <v>0.07314039964710807</v>
      </c>
      <c r="F6" s="42" t="n">
        <v>0.2609107701150915</v>
      </c>
      <c r="G6" s="44" t="n">
        <v>24047.81520000456</v>
      </c>
    </row>
    <row r="7" ht="18" customHeight="1">
      <c r="A7" s="9" t="inlineStr">
        <is>
          <t>Esc. 4 (5C/10E/15A)</t>
        </is>
      </c>
      <c r="B7" s="45" t="n">
        <v>0.5902326556277511</v>
      </c>
      <c r="C7" s="11" t="n">
        <v>1169.635505704799</v>
      </c>
      <c r="D7" s="45" t="n">
        <v>0.004094280586700516</v>
      </c>
      <c r="E7" s="45" t="n">
        <v>0.04381968471828735</v>
      </c>
      <c r="F7" s="45" t="n">
        <v>0.8173232890151955</v>
      </c>
      <c r="G7" s="46" t="n">
        <v>23282.04428122888</v>
      </c>
    </row>
    <row r="8" ht="18" customHeight="1">
      <c r="A8" s="7" t="inlineStr">
        <is>
          <t>Esc. 5 (20C/15E/10A)</t>
        </is>
      </c>
      <c r="B8" s="42" t="n">
        <v>0.586892797319933</v>
      </c>
      <c r="C8" s="43" t="n">
        <v>753.3811767840773</v>
      </c>
      <c r="D8" s="42" t="n">
        <v>0.06708949517412537</v>
      </c>
      <c r="E8" s="42" t="n">
        <v>0.1428627627788767</v>
      </c>
      <c r="F8" s="42" t="n">
        <v>0.5251534507336547</v>
      </c>
      <c r="G8" s="44" t="n">
        <v>23648.57080210968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" customWidth="1" min="5" max="5"/>
  </cols>
  <sheetData>
    <row r="1" ht="32" customHeight="1">
      <c r="A1" s="21" t="inlineStr">
        <is>
          <t>RANKING DE EFICIENCIA GLOBAL</t>
        </is>
      </c>
    </row>
    <row r="2" ht="16" customHeight="1">
      <c r="A2" s="47" t="inlineStr">
        <is>
          <t>Score compuesto (↑ mayor = mejor):  0.4×(1-Espera norm.) + 0.3×(1-Ocioso norm.) + 0.2×(1-PARR norm.) + 0.1×(BN norm.)</t>
        </is>
      </c>
    </row>
    <row r="4" ht="20" customHeight="1">
      <c r="A4" s="4" t="inlineStr">
        <is>
          <t>Pos.</t>
        </is>
      </c>
      <c r="B4" s="4" t="inlineStr">
        <is>
          <t>Escenario</t>
        </is>
      </c>
      <c r="C4" s="4" t="inlineStr">
        <is>
          <t>Score</t>
        </is>
      </c>
      <c r="D4" s="4" t="inlineStr">
        <is>
          <t>Evaluación</t>
        </is>
      </c>
    </row>
    <row r="5" ht="22" customHeight="1">
      <c r="A5" s="48" t="inlineStr">
        <is>
          <t>1°</t>
        </is>
      </c>
      <c r="B5" s="49" t="inlineStr">
        <is>
          <t>Esc. 3 (15C/10E/5A)</t>
        </is>
      </c>
      <c r="C5" s="50" t="n">
        <v>0.8356925319960918</v>
      </c>
      <c r="D5" s="51" t="inlineStr">
        <is>
          <t>Óptimo</t>
        </is>
      </c>
    </row>
    <row r="6" ht="22" customHeight="1">
      <c r="A6" s="52" t="inlineStr">
        <is>
          <t>2°</t>
        </is>
      </c>
      <c r="B6" s="53" t="inlineStr">
        <is>
          <t>Esc. 5 (20C/15E/10A)</t>
        </is>
      </c>
      <c r="C6" s="54" t="n">
        <v>0.587271505177398</v>
      </c>
      <c r="D6" s="55" t="inlineStr">
        <is>
          <t>Aceptable</t>
        </is>
      </c>
    </row>
    <row r="7" ht="22" customHeight="1">
      <c r="A7" s="56" t="inlineStr">
        <is>
          <t>3°</t>
        </is>
      </c>
      <c r="B7" s="57" t="inlineStr">
        <is>
          <t>Esc. 2 (10C/10E/10A)</t>
        </is>
      </c>
      <c r="C7" s="58" t="n">
        <v>0.4350971902957369</v>
      </c>
      <c r="D7" s="59" t="inlineStr">
        <is>
          <t>Aceptable</t>
        </is>
      </c>
    </row>
    <row r="8" ht="22" customHeight="1">
      <c r="A8" s="48" t="inlineStr">
        <is>
          <t>4°</t>
        </is>
      </c>
      <c r="B8" s="49" t="inlineStr">
        <is>
          <t>Esc. 1 (5C/5E/5A)</t>
        </is>
      </c>
      <c r="C8" s="50" t="n">
        <v>0.3761052045764576</v>
      </c>
      <c r="D8" s="60" t="inlineStr">
        <is>
          <t>Mejorable</t>
        </is>
      </c>
    </row>
    <row r="9" ht="22" customHeight="1">
      <c r="A9" s="52" t="inlineStr">
        <is>
          <t>5°</t>
        </is>
      </c>
      <c r="B9" s="53" t="inlineStr">
        <is>
          <t>Esc. 4 (5C/10E/15A)</t>
        </is>
      </c>
      <c r="C9" s="54" t="n">
        <v>0.3547113597300759</v>
      </c>
      <c r="D9" s="61" t="inlineStr">
        <is>
          <t>Mejorable</t>
        </is>
      </c>
    </row>
    <row r="12">
      <c r="A12" t="inlineStr">
        <is>
          <t>Escenario</t>
        </is>
      </c>
      <c r="B12" t="inlineStr">
        <is>
          <t>Score</t>
        </is>
      </c>
    </row>
    <row r="13">
      <c r="A13" t="inlineStr">
        <is>
          <t>Esc. 3 (15C/10E/5A)</t>
        </is>
      </c>
      <c r="B13" t="n">
        <v>0.8356925319960918</v>
      </c>
    </row>
    <row r="14">
      <c r="A14" t="inlineStr">
        <is>
          <t>Esc. 5 (20C/15E/10A)</t>
        </is>
      </c>
      <c r="B14" t="n">
        <v>0.587271505177398</v>
      </c>
    </row>
    <row r="15">
      <c r="A15" t="inlineStr">
        <is>
          <t>Esc. 2 (10C/10E/10A)</t>
        </is>
      </c>
      <c r="B15" t="n">
        <v>0.4350971902957369</v>
      </c>
    </row>
    <row r="16">
      <c r="A16" t="inlineStr">
        <is>
          <t>Esc. 1 (5C/5E/5A)</t>
        </is>
      </c>
      <c r="B16" t="n">
        <v>0.3761052045764576</v>
      </c>
    </row>
    <row r="17">
      <c r="A17" t="inlineStr">
        <is>
          <t>Esc. 4 (5C/10E/15A)</t>
        </is>
      </c>
      <c r="B17" t="n">
        <v>0.3547113597300759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2026-08-30T14:28:49Z</dcterms:created>
  <dcterms:modified xsi:type="dcterms:W3CDTF">2026-08-30T14:28:49Z</dcterms:modified>
</cp:coreProperties>
</file>